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reoiueedu-my.sharepoint.com/personal/easuarez_correo_iue_edu_co/Documents/Edwin Suarez/Desktop/A Ceipa/A 109945 Núcleo Periodo 3 2023/"/>
    </mc:Choice>
  </mc:AlternateContent>
  <xr:revisionPtr revIDLastSave="375" documentId="8_{EE768A30-8848-473F-A97C-0860DE3F3F10}" xr6:coauthVersionLast="47" xr6:coauthVersionMax="47" xr10:uidLastSave="{EF4BF5F9-1CD6-49C8-85E1-C5327E03C45F}"/>
  <bookViews>
    <workbookView xWindow="-108" yWindow="-108" windowWidth="23256" windowHeight="12456" activeTab="2" xr2:uid="{00000000-000D-0000-FFFF-FFFF00000000}"/>
  </bookViews>
  <sheets>
    <sheet name="Matrices Enlistar-Estrategias" sheetId="14" r:id="rId1"/>
    <sheet name="Matriz EFI" sheetId="12" r:id="rId2"/>
    <sheet name="Matriz EFE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3" l="1"/>
  <c r="E6" i="13"/>
  <c r="E7" i="13"/>
  <c r="E9" i="13"/>
  <c r="E13" i="13"/>
  <c r="E14" i="13"/>
  <c r="C18" i="13"/>
  <c r="E5" i="12"/>
  <c r="E6" i="12"/>
  <c r="C18" i="12"/>
  <c r="E8" i="13"/>
  <c r="E10" i="13"/>
  <c r="E12" i="13"/>
  <c r="E15" i="13"/>
  <c r="E16" i="13"/>
  <c r="E17" i="13"/>
  <c r="E17" i="12" l="1"/>
  <c r="E7" i="12"/>
  <c r="E8" i="12"/>
  <c r="E9" i="12"/>
  <c r="E10" i="12"/>
  <c r="E16" i="12" l="1"/>
  <c r="E15" i="12"/>
  <c r="E14" i="12"/>
  <c r="E13" i="12"/>
  <c r="E12" i="12"/>
  <c r="E19" i="13" l="1"/>
  <c r="E20" i="13"/>
  <c r="E19" i="12"/>
  <c r="E20" i="12"/>
  <c r="E18" i="12" l="1"/>
  <c r="E18" i="13"/>
</calcChain>
</file>

<file path=xl/sharedStrings.xml><?xml version="1.0" encoding="utf-8"?>
<sst xmlns="http://schemas.openxmlformats.org/spreadsheetml/2006/main" count="209" uniqueCount="175">
  <si>
    <t>FORTALEZAS</t>
  </si>
  <si>
    <t>DEBILIDADES</t>
  </si>
  <si>
    <t>F1</t>
  </si>
  <si>
    <t>Especialización en vehículos comerciales y de carga multimarca (Only Diesel S.A.S., 2025).</t>
  </si>
  <si>
    <t>D1</t>
  </si>
  <si>
    <t>Alta dependencia de un cliente estratégico (70 % de los ingresos) (Only Diesel S.A.S., 2025).</t>
  </si>
  <si>
    <t>F2</t>
  </si>
  <si>
    <t>Modelo de negocio integral que combina comercialización de repuestos con mantenimiento preventivo, correctivo y atención a flotas empresariales(Only Diesel S.A.S., 2025).</t>
  </si>
  <si>
    <t>D2</t>
  </si>
  <si>
    <t>Dependencia de repuestos importados (Only Diesel S.A.S., 2025).</t>
  </si>
  <si>
    <t>F3</t>
  </si>
  <si>
    <t>Atención especializada a flotas empresariales mediante servicio In House (Only Diesel S.A.S., 2025).</t>
  </si>
  <si>
    <t>D3</t>
  </si>
  <si>
    <t>Cobertura nacional limitada (Only Diesel S.A.S., 2025).</t>
  </si>
  <si>
    <t>F4</t>
  </si>
  <si>
    <t>Infraestructura en crecimiento con cuatro sedes y 22 colaboradores (Only Diesel S.A.S., 2025).</t>
  </si>
  <si>
    <t>D4</t>
  </si>
  <si>
    <t>Elevada inversión requerida en tecnología y equipos especializados (Only Diesel S.A.S., 2025).</t>
  </si>
  <si>
    <t>F5</t>
  </si>
  <si>
    <t>Procesos estandarizados con herramientas tecnológicas para la gestión operativa(Only Diesel S.A.S., 2025).</t>
  </si>
  <si>
    <t>D5</t>
  </si>
  <si>
    <t>Alta dependencia del talento técnico especializado (Only Diesel S.A.S., 2025).</t>
  </si>
  <si>
    <t>F6</t>
  </si>
  <si>
    <t>Disponibilidad de equipos especializados de diagnóstico y mantenimiento (Only Diesel S.A.S., 2025).</t>
  </si>
  <si>
    <t>D6</t>
  </si>
  <si>
    <t>Dependencia de proveedores especializados para garantizar disponibilidad de repuestos (Only Diesel S.A.S., 2025).</t>
  </si>
  <si>
    <t>OPORTUNIDADES</t>
  </si>
  <si>
    <t xml:space="preserve"> FO</t>
  </si>
  <si>
    <t>ESTRATEGIAS OFENSIVAS</t>
  </si>
  <si>
    <t xml:space="preserve"> DO</t>
  </si>
  <si>
    <t>ESTRATEGIAS ADAPTATIVAS</t>
  </si>
  <si>
    <t>O1</t>
  </si>
  <si>
    <t>Crecimiento del sector de transporte de carga, incrementando la necesidad de mantenimiento, reparación y compra de repuestos (Ministerio de Transporte, 2025).</t>
  </si>
  <si>
    <t>F1, F2 + O1</t>
  </si>
  <si>
    <t xml:space="preserve">Crear planes integrales de repuestos y mantenimiento para empresas de transporte de carga, aprovechando la especialización multimarca y el crecimiento del sector. La modernización del transporte de carga demanda servicios que mejoren su productividad, seguridad y sostenibilidad (ministerio de Transporte, 2025; World Bank, 2025). </t>
  </si>
  <si>
    <t>D1 + O1, O4</t>
  </si>
  <si>
    <t xml:space="preserve">Diversificar la cartera mediante campañas digitales dirigidas a transportadores independientes, PYMES logísticas y empresas con flotas, reduciendo gradualmente la participación del cliente principal. La digitalización facilita el acceso a nuevos mercados mientras que diversifica la base de clientes aumenta la resiliencia empresarial (OECD, 2025; UNCTAD, 2023c). </t>
  </si>
  <si>
    <t>O2</t>
  </si>
  <si>
    <t>Mayor cultura de mantenimiento preventivo, buscando se prolongue la vida útil de los vehículos de sus clientes y evitar interrupciones operativas (Ministerio de Transporte, 2025).</t>
  </si>
  <si>
    <t>F2, F3 + O2</t>
  </si>
  <si>
    <t>Ofrecer contratos de mantenimiento preventivo con programación periódica, indicadores de disponibilidad y seguimiento del historial de cada vehículo. El mantenimiento planificado disminuye fallas mecánicas y contribuye a la continuidad de las operaciones de transporte (Ministerio de transporte, 2019; International Energy Agency [IEA], 2025a).</t>
  </si>
  <si>
    <t>D2, D6 + O3</t>
  </si>
  <si>
    <t>Desarrollar una red de proveedores nacionales y regionales homologados que ofrezcan repuestos equivalentes con garantía y respaldo técnico. La diversificación de proveedores reduce la vulnerabilidad ante interrupciones y dependencia de una sola fuente de abastecimiento (UNCTAD, 2023a, 2023b).</t>
  </si>
  <si>
    <t>O3</t>
  </si>
  <si>
    <t>Preferencia de los clientes por productos de calidad y respaldo técnico, diferenciando la organización de sus competidores (Porter, 1985).</t>
  </si>
  <si>
    <t>F1, F6 + O3</t>
  </si>
  <si>
    <t xml:space="preserve">Implementar un servicio de diagnóstico certificado que incluya revisión téctnica, trazabillidad de los repuestos y garantía sobre las interveciones realizadas. La calidad, la productividad y la diferenciación fortalecen la competitividad de las pequeñas y medianas empresas (Bancóldex, 2025a; OECD, 2025). </t>
  </si>
  <si>
    <t>D3 + O1, O4</t>
  </si>
  <si>
    <t xml:space="preserve">Ampliar la cobertura nacional mediante venta digital, diagnóstico remoto y alianzas con talleres autorizados en ciudades donde al empresa no posee sedes. Las herramientas digitales permiten ampliar la base de datos de clientes y combinar canales físicos y electrónicos (OECS, 2021a, 2026). </t>
  </si>
  <si>
    <t>O4</t>
  </si>
  <si>
    <t>Crecimiento del comercio electrónico y de los hábitos de compra digitales, teniendo así mayor cobertura comercial (Cámara Colombiana de Comercio Electrónico, 2025).</t>
  </si>
  <si>
    <t>F4, F5 + O4</t>
  </si>
  <si>
    <t>Desarrollar una plataforma de comercio electrónico integrada con las cuatro sedes para cotizar repuestos, agendar mantenimientos y consultar el estado de las reparaciones. La digitalización permite ampliar mercados y mejorar la eficiencia operativa de las PYMES (OECD, 2021a, 2025)</t>
  </si>
  <si>
    <t>D4 + O5, O6</t>
  </si>
  <si>
    <t>Gestionar financiación para adquirir progresivamente equipos de diagnóstico compatibles con tecnologías eficientes y de bajas emisiones. Los programas de desarrollo empresarial apoyan inversiones en maquinaria, tecnología e innovación, mientras las nuevas exigencias ambientales demandan capacidades técnicas actualizadas (Bancóldex, 2025a, 2025b; International Energy Agency [IEA], 2025b).</t>
  </si>
  <si>
    <t>O5</t>
  </si>
  <si>
    <t>Acceso a programas gubernamentales de apoyo empresarial Ministerio de Transporte, 2025).</t>
  </si>
  <si>
    <t>F4, F5 + O5</t>
  </si>
  <si>
    <t>Presentar proyectos de modernización tecnológica y ampliación de capacidad ante programas gubernamentales de financiación fortalecimiento empresarial. Tener financiamiento y apoyo de entidades para los instrumentos orientados a tecnología, software, maquinaria, innovación y transformación productiva (Bancóldex, 2025a, 2025b)</t>
  </si>
  <si>
    <t>D5 + O2, O5</t>
  </si>
  <si>
    <t xml:space="preserve">Crear una escuela técnica interna apoyada por programas públicos, fabricantes y proveedores para formar al personal en mantenimiento preventivo y diagnóstico electrónico. La transformación tecnológica exige desarrollar competencias internas y acompañar la adopción digital con capacitación (Bancóldex, 2025c; OECD, 2024). </t>
  </si>
  <si>
    <t>O6</t>
  </si>
  <si>
    <t>Desarrollo de repuestos y tecnologías para motores más eficientes y de bajas emisiones (Ministerio de Transporte, 2025).</t>
  </si>
  <si>
    <t>F1, F6 + O6</t>
  </si>
  <si>
    <t>Crear una línea especializada en diagnóstico, mantenimiento y repuestos para motores eficientes y vehículos con tecnologías de bajas emisiones. Los vehículos pesados representan una proporción importante de las emisiones del transporte terrestre, impulsando mayores exigencias de eficiencia energética (International Energy Agency [IEA], 2025a, 2025b)</t>
  </si>
  <si>
    <t>D2, D6 + O6</t>
  </si>
  <si>
    <t xml:space="preserve">Negociar acuerdos de distribución y capacitación con fabricantes de repuestos para motores eficientes, asegurando disponibilidad y transferencia de conocimiento técnico. La integración y diversificación de las cadenas de suministro fortalece la resiliencia y facilita el acceso a nuevas tecnologías (International Energy Agency [IEA], 2025a; UNCTAD, 2023c). </t>
  </si>
  <si>
    <t>AMENAZAS</t>
  </si>
  <si>
    <t xml:space="preserve"> FA</t>
  </si>
  <si>
    <t xml:space="preserve">ESTRATEGIAS DEFENSIVAS </t>
  </si>
  <si>
    <t xml:space="preserve"> DA</t>
  </si>
  <si>
    <t>ESTRATEGIAS DE SUPERVIVENCIA</t>
  </si>
  <si>
    <t>A1</t>
  </si>
  <si>
    <t>Incremento de la inflación elevando costos (Banco de la República, 2025).</t>
  </si>
  <si>
    <t>F2, F5 + A1</t>
  </si>
  <si>
    <t>Implementar un sistema de costeo por orden de servicio que actualice periódicamente precios, márgenes y consumo de repuestos frente a la inflación. La digitalización mejora la administración y la productividad, mientras que los sistemas de información permiten controlar los costos de operación del transporte (Ministerio de Transporte, 2015; OECD, 2021b).</t>
  </si>
  <si>
    <t>D1 + A1, A5</t>
  </si>
  <si>
    <t xml:space="preserve">Reducir la dependencia del cliente que representa el 70% de los ingresos mediante metas trimestrales de captación y límites máximos de concentración por cliente. La diversificación de la base comercial mejora la capacidad para absorber caídas de demanda y choques económicos (UNCTAD, 2023c; World Bank, 2023b). </t>
  </si>
  <si>
    <t>A2</t>
  </si>
  <si>
    <t>Variaciones de las tasas representativas del mercado (TRM) (Banco de la República, 2025).</t>
  </si>
  <si>
    <t>F1, F5 + A2</t>
  </si>
  <si>
    <t>Establecer listas de precios con vigencia limitada y mecanismos de ajuste cinculados a la TRM para los repuestros importados. La volatidad cambiaria incrementa los costos y la incertidumbre del comercio internacional, por lo que requiere mecanismos de seguimiento y ajuste (International Monetary Fund [IMF], 2984; World Bank, 2023a).</t>
  </si>
  <si>
    <t>D2, D6 + A2</t>
  </si>
  <si>
    <t xml:space="preserve">Mantener inventarios mínimos de repuestos importados críticos y negociar compras anticipadas o precios pactados con varios proveedores. Los retrasos logísticos y la dependencia de insumos importados elevan precios y genera desabastecimientos, especialmente cuando los inventarios son reducidos (UNCTAD, 2023b; World Bank, 2023a). </t>
  </si>
  <si>
    <t>A3</t>
  </si>
  <si>
    <t>Cambios en la regulación aduanera, los aranceles y las políticas de comercio exteriorde comercio exterior.
(Ministerio de Comercio, Industria y Turismo, 2025).</t>
  </si>
  <si>
    <t>F2, F4 + A3</t>
  </si>
  <si>
    <t xml:space="preserve">Centralizar en una de las sedes la vigilacia de cambios arancelarios, aduaneros y de comercio exterior para anticipar ajustes en compras e inventarios. La resiliencia empresarial depende de la capacidad para responder a barreras comerciale sy disrupciones en las cadenas de sumistro (UNCTAD, 2023a; World Bank, 2023a). </t>
  </si>
  <si>
    <t>D2, D6 + A3</t>
  </si>
  <si>
    <t xml:space="preserve">Diseñar un plan alternativo de abastecimiento con proveedores de distintos países y sustitutos técnicamente homologados ante cambios aduaneros o arancelarios. La diversificación y regionalización de proveedores disminuyen la exposición a restricciones comerciales y disrupciones externas (UNCTAD, 2023a, 2023c). </t>
  </si>
  <si>
    <t>A4</t>
  </si>
  <si>
    <t>Regulaciones ambientales más estrictas sobre las emisiones de los vehículos diesel (Ministerio de Ambiente y Desarrollo Sostenible, 2025).</t>
  </si>
  <si>
    <t>F1, F6 + A4</t>
  </si>
  <si>
    <t xml:space="preserve">Fortalecer los servicios de medición de emisiones, diagnóstico electrónico y mantenimiento de sistemas de combustión para adaptar las flotas a regulaciones ambientales más estrictas. La modernización vehicular y los estándares de eficiencia buscan reducir emisiones y consumo de combustible (International Energy Agency [IEA], 2024; Ministerio de Transporte, 2019). </t>
  </si>
  <si>
    <t>D4, D5 + A4</t>
  </si>
  <si>
    <t xml:space="preserve">Priorizar inversiones indispensables para cumplir la normativa ambiental y capacitar inicialmente a un equipo técnico multiplicador. La transición hacia vehículos más eficientes requiere nuevas tecnologías, competencias y capacidades de diagnóstico (International Energy Agency [IEA], 2024, 2025b). </t>
  </si>
  <si>
    <t>A5</t>
  </si>
  <si>
    <t>Alta sensibilidad de los clientes frente al precio (Porter, 1985).</t>
  </si>
  <si>
    <t>F2, F3 + A5</t>
  </si>
  <si>
    <t xml:space="preserve">Diferenciar la oferta mediante contratos que demuestren ahorros por menor tiempo de inmobilización, prevención de averías y disponibilidad de las flotas. La competitividad no depende únicamente del precio, sino también de la productividad, eficiencia y valor agregado del servicio (Bancóldex, 2025a; OECD, 2025). </t>
  </si>
  <si>
    <t>D3 + A5, A6</t>
  </si>
  <si>
    <t xml:space="preserve">Crear una red de talleres aliados con tarifas, protocolos y estándares de calidad definidos para atender clientes durante bloqueos logísticos o fuera de la cobertura directa. La flexibilidad y las redes empresariales contribuyen a mantener la continuidad frente a interrupciones de transporte y suministro (UNCTAD, 2023b; World Bank, 2025). </t>
  </si>
  <si>
    <t>A6</t>
  </si>
  <si>
    <t>Afectaciones en los corredores logísticos por diferentes factores (climáticos, orden público, etc)(Ministerio de Transporte, 2025).</t>
  </si>
  <si>
    <t>F4, F5 + A6</t>
  </si>
  <si>
    <t>Distribuir inventarios críticos entre las cuatro sedes y activar protocolos de traslado interno ante cierres o afectaciones de corredores logísticos. La diversificación, la flexibilidad y los inventarios de seguridad reducen el impacto de retrasos y desabastecimientos (UNCTAD, 2023b; World Bank, 2023a).</t>
  </si>
  <si>
    <t>D1, D4 + A1</t>
  </si>
  <si>
    <t xml:space="preserve">Construir una reserva de liquidez y aprobar inversiones tecnológicas por etapas, condicionadas al flujo de caja y a la diversificación de ingresos. Las PYMES disponen de menos recursos para enfrentar choques severos, por lo que requieren disciplina financiera, acceso a financiación y priorización de inversiones (Bancóldex, 2025a; World Bank, 2023b). </t>
  </si>
  <si>
    <t>MATRIZ DE EVALUACIÓN DE FACTORES INTERNOS (EFI)</t>
  </si>
  <si>
    <t>PESO</t>
  </si>
  <si>
    <t>CALIFICACIÓN</t>
  </si>
  <si>
    <t>VALOR POND.</t>
  </si>
  <si>
    <t>Modelo de negocio integral que combina comercialización de repuestos con mantenimiento preventivo, correctivo y atención a flotas empresariales (Only Diesel S.A.S., 2025).</t>
  </si>
  <si>
    <t>Procesos estandarizados con herramientas tecnológicas para la gestión operativa (Only Diesel S.A.S., 2025).</t>
  </si>
  <si>
    <t>TOTAL</t>
  </si>
  <si>
    <t>Subtotal Fortalezas</t>
  </si>
  <si>
    <t>Subtotal Debilidades</t>
  </si>
  <si>
    <t>1= Mayor Debilidad; 2= Menor Debilidad
3= Menor Fortaleza; 4= Mayor Fortaleza</t>
  </si>
  <si>
    <t>Asigne un peso entre 0.0 (no importante) a 1.0 (absolutamente</t>
  </si>
  <si>
    <t>importante) a cada uno de los factores. El peso adjudicado a un factor</t>
  </si>
  <si>
    <t>dado indica la importancia relativa del mismo para alcanzar el éxito de la</t>
  </si>
  <si>
    <t>empresa. Independientemente de que el factor clave represente una</t>
  </si>
  <si>
    <t>fuerza o una debilidad interna, los factores que se consideren que</t>
  </si>
  <si>
    <t>repercutirán mas en el desempeño dela organización deben llevar los</t>
  </si>
  <si>
    <t>pesos mas altos. El total de todos los pesos debe de sumar1.0.</t>
  </si>
  <si>
    <t>(Vienen de la tabla factores de análisis)</t>
  </si>
  <si>
    <t xml:space="preserve"> Asigne una calificación entre 1 y 4 a cada uno de los factores a efecto</t>
  </si>
  <si>
    <t>de indicar si el factor representa una debilidad mayor (calificación = 1),</t>
  </si>
  <si>
    <t>una debilidad menor (calificación = 2), una fuerza menor (calificación</t>
  </si>
  <si>
    <t>=3) o una fuerza mayor (calificación = 4). Así, las calificaciones se</t>
  </si>
  <si>
    <t>refieren a la compañía, mientras que los pesos del paso 2 se refieren a la</t>
  </si>
  <si>
    <t>industria.</t>
  </si>
  <si>
    <t>Sea cual fuere la cantidad de factores que se incluyen en una matriz EFI,</t>
  </si>
  <si>
    <t>el total ponderado puede ir de un mínimo de 1.0 a un máximo de 4.0,</t>
  </si>
  <si>
    <t>siendo la calificación promedio de 2.5. Los totales ponderados muy por</t>
  </si>
  <si>
    <t>debajo de 2.5 caracterizan a las organizaciones que son débiles en lo</t>
  </si>
  <si>
    <t>interno, mientras que las calificaciones muy por arriba de 2.5 indican una</t>
  </si>
  <si>
    <t>posición interna fuerza. La matriz EFI, al igual que la matriz EFE, debe</t>
  </si>
  <si>
    <t>incluir entre 10 y 20 factores clave. La cantidad de factores no influye en</t>
  </si>
  <si>
    <t>la escala de los totales ponderados porque los pesos siempre suman 1.0</t>
  </si>
  <si>
    <t>MATRIZ EVALUACIÓN DE FACTORES EXTERNOS (EFE)</t>
  </si>
  <si>
    <t>Acceso a programas gubernamentales de apoyo empresarial (Ministerio de Transporte, 2025).</t>
  </si>
  <si>
    <t>Cambios en la regulación aduanera, los aranceles y las políticas de comercio exterior de comercio exterior.
(Ministerio de Comercio, Industria y Turismo, 2025).</t>
  </si>
  <si>
    <t>Alta sensibilidad de los clientes frente al precio. (Porter, 1985).</t>
  </si>
  <si>
    <t>Afectaciones en los corredores logísticos por diferentes factores (climáticos, orden público, etc) (Ministerio de Transporte, 2025).</t>
  </si>
  <si>
    <t>Subtotal Oportunidades</t>
  </si>
  <si>
    <t>Subtotal Amenazas</t>
  </si>
  <si>
    <t>1= Deficiente; 2= Aceptable; 3= Buena; 4= Excelente</t>
  </si>
  <si>
    <t>Asigne un peso relativo a cada factor, de 0.0 (no es importante) a 1.0</t>
  </si>
  <si>
    <t>(muy importante). El peso indica la importancia relativa que tiene ese</t>
  </si>
  <si>
    <t>factor para alcanzar el éxito en la industria de la empresa. Las</t>
  </si>
  <si>
    <t>oportunidades suelen tener pesos más altos que las amenazas, pero éstas,</t>
  </si>
  <si>
    <t>a su vez, pueden tener pesos altos si son especialmente graves o</t>
  </si>
  <si>
    <t>amenazadoras. Los pesos adecuados se pueden determinar comparando a</t>
  </si>
  <si>
    <t>los competidores que tienen éxito con los que no lo tienen o analizando el</t>
  </si>
  <si>
    <t>factor en grupo y llegando a un consenso. La suma de todos los pesos</t>
  </si>
  <si>
    <t>asignados a los factores debe sumar 1.0.</t>
  </si>
  <si>
    <t>Asigne una calificación de 1 a 4 a cada uno de los factores</t>
  </si>
  <si>
    <t>determinantes para el éxito con el objeto de indicar si las estrategias</t>
  </si>
  <si>
    <t>presentes de la empresa están respondiendo con eficacia al factor, donde</t>
  </si>
  <si>
    <t>4 = una respuesta superior, 3 = una respuesta superior a la media, 2 = una</t>
  </si>
  <si>
    <t>respuesta media y 1 = una respuesta mala. Las calificaciones se basan en</t>
  </si>
  <si>
    <t>la eficacia de las estrategias de la empresa. Así pues, las calificaciones se</t>
  </si>
  <si>
    <t>basan en la empresa, mientras que los pesos del paso 2 se basan en la</t>
  </si>
  <si>
    <t>Independientemente de la cantidad de oportunidades y amenazas clave</t>
  </si>
  <si>
    <t>incluidas en la matriz EFE, el total ponderado más alto que puede obtener</t>
  </si>
  <si>
    <t>la organización es 4.0 y el total ponderado más bajo posible es 1.0. El</t>
  </si>
  <si>
    <t>valor del promedio ponderado es 2.5. Un promedio ponderado de 4.0</t>
  </si>
  <si>
    <t>indica que la organización está respondiendo de manera excelente a las</t>
  </si>
  <si>
    <t>oportunidades y amenazas existentes en su industria. En otras palabras,</t>
  </si>
  <si>
    <t>las estrategias de la empresa están aprovechando con eficacia las</t>
  </si>
  <si>
    <t>oportunidades existentes y minimizando los posibles efectos negativos de</t>
  </si>
  <si>
    <t>las amenazas externas. Un promedio ponderado de 1.0 indica que las</t>
  </si>
  <si>
    <t>estrategias de la empresa no están capitalizando las oportunidades ni</t>
  </si>
  <si>
    <t>evitando las amenazas externas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</si>
</sst>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D&quot;?&quot; - O&quot;?&quot;.&quot;"/>
    <numFmt numFmtId="165" formatCode="&quot;F&quot;?&quot; - A&quot;?&quot;.&quot;"/>
    <numFmt numFmtId="166" formatCode="&quot;D&quot;?&quot; - A&quot;?&quot;.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0" xfId="0" applyFill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49" fontId="0" fillId="2" borderId="0" xfId="0" applyNumberFormat="1" applyFill="1" applyProtection="1">
      <protection locked="0"/>
    </xf>
    <xf numFmtId="0" fontId="1" fillId="2" borderId="0" xfId="0" applyFont="1" applyFill="1" applyProtection="1">
      <protection locked="0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166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left" vertical="center" wrapText="1"/>
    </xf>
    <xf numFmtId="2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 xr:uid="{00000000-0005-0000-0000-000002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MySqlDefault" pivot="0" table="0" count="0" xr9:uid="{00000000-0011-0000-FFFF-FFFF00000000}"/>
  </tableStyles>
  <colors>
    <mruColors>
      <color rgb="FFE48506"/>
      <color rgb="FFF9950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9"/>
  <sheetViews>
    <sheetView topLeftCell="A15" zoomScaleNormal="100" workbookViewId="0">
      <selection activeCell="D23" sqref="D23:E23"/>
    </sheetView>
  </sheetViews>
  <sheetFormatPr defaultColWidth="0" defaultRowHeight="14.45" zeroHeight="1"/>
  <cols>
    <col min="1" max="1" width="5.7109375" style="1" customWidth="1"/>
    <col min="2" max="2" width="8.7109375" style="1" customWidth="1"/>
    <col min="3" max="3" width="11.42578125" style="1" hidden="1" customWidth="1"/>
    <col min="4" max="4" width="38.85546875" style="1" customWidth="1"/>
    <col min="5" max="5" width="11.42578125" style="1" customWidth="1"/>
    <col min="6" max="6" width="36.5703125" style="1" customWidth="1"/>
    <col min="7" max="7" width="35.7109375" style="1" customWidth="1"/>
    <col min="8" max="8" width="11.42578125" style="1" customWidth="1"/>
    <col min="9" max="9" width="36.7109375" style="1" customWidth="1"/>
    <col min="10" max="10" width="35.7109375" style="1" customWidth="1"/>
    <col min="11" max="11" width="5.7109375" style="1" customWidth="1"/>
    <col min="12" max="16384" width="11.42578125" style="1" hidden="1"/>
  </cols>
  <sheetData>
    <row r="1" spans="2:10" ht="18.75" customHeight="1"/>
    <row r="2" spans="2:10">
      <c r="B2" s="9"/>
      <c r="C2" s="9"/>
      <c r="D2" s="9"/>
      <c r="E2" s="46" t="s">
        <v>0</v>
      </c>
      <c r="F2" s="46"/>
      <c r="G2" s="46"/>
      <c r="H2" s="46" t="s">
        <v>1</v>
      </c>
      <c r="I2" s="46"/>
      <c r="J2" s="46"/>
    </row>
    <row r="3" spans="2:10" ht="30.75" customHeight="1">
      <c r="B3" s="9"/>
      <c r="C3" s="9"/>
      <c r="D3" s="9"/>
      <c r="E3" s="10" t="s">
        <v>2</v>
      </c>
      <c r="F3" s="41" t="s">
        <v>3</v>
      </c>
      <c r="G3" s="41"/>
      <c r="H3" s="10" t="s">
        <v>4</v>
      </c>
      <c r="I3" s="42" t="s">
        <v>5</v>
      </c>
      <c r="J3" s="43"/>
    </row>
    <row r="4" spans="2:10" ht="48" customHeight="1">
      <c r="B4" s="9"/>
      <c r="C4" s="9"/>
      <c r="D4" s="9"/>
      <c r="E4" s="10" t="s">
        <v>6</v>
      </c>
      <c r="F4" s="41" t="s">
        <v>7</v>
      </c>
      <c r="G4" s="41"/>
      <c r="H4" s="10" t="s">
        <v>8</v>
      </c>
      <c r="I4" s="42" t="s">
        <v>9</v>
      </c>
      <c r="J4" s="43"/>
    </row>
    <row r="5" spans="2:10" ht="28.5" customHeight="1">
      <c r="B5" s="9"/>
      <c r="C5" s="9"/>
      <c r="D5" s="9"/>
      <c r="E5" s="10" t="s">
        <v>10</v>
      </c>
      <c r="F5" s="41" t="s">
        <v>11</v>
      </c>
      <c r="G5" s="41"/>
      <c r="H5" s="10" t="s">
        <v>12</v>
      </c>
      <c r="I5" s="42" t="s">
        <v>13</v>
      </c>
      <c r="J5" s="43"/>
    </row>
    <row r="6" spans="2:10" ht="54" customHeight="1">
      <c r="B6" s="9"/>
      <c r="C6" s="9"/>
      <c r="D6" s="9"/>
      <c r="E6" s="10" t="s">
        <v>14</v>
      </c>
      <c r="F6" s="41" t="s">
        <v>15</v>
      </c>
      <c r="G6" s="41"/>
      <c r="H6" s="10" t="s">
        <v>16</v>
      </c>
      <c r="I6" s="42" t="s">
        <v>17</v>
      </c>
      <c r="J6" s="43"/>
    </row>
    <row r="7" spans="2:10" ht="45.75" customHeight="1">
      <c r="B7" s="9"/>
      <c r="C7" s="9"/>
      <c r="D7" s="9"/>
      <c r="E7" s="10" t="s">
        <v>18</v>
      </c>
      <c r="F7" s="41" t="s">
        <v>19</v>
      </c>
      <c r="G7" s="41"/>
      <c r="H7" s="10" t="s">
        <v>20</v>
      </c>
      <c r="I7" s="42" t="s">
        <v>21</v>
      </c>
      <c r="J7" s="43"/>
    </row>
    <row r="8" spans="2:10" ht="46.5" customHeight="1">
      <c r="B8" s="9"/>
      <c r="C8" s="9"/>
      <c r="D8" s="9"/>
      <c r="E8" s="10" t="s">
        <v>22</v>
      </c>
      <c r="F8" s="41" t="s">
        <v>23</v>
      </c>
      <c r="G8" s="41"/>
      <c r="H8" s="10" t="s">
        <v>24</v>
      </c>
      <c r="I8" s="42" t="s">
        <v>25</v>
      </c>
      <c r="J8" s="43"/>
    </row>
    <row r="9" spans="2:10" ht="15.75" customHeight="1">
      <c r="B9" s="39" t="s">
        <v>26</v>
      </c>
      <c r="C9" s="47"/>
      <c r="D9" s="40"/>
      <c r="E9" s="10" t="s">
        <v>27</v>
      </c>
      <c r="F9" s="46" t="s">
        <v>28</v>
      </c>
      <c r="G9" s="46"/>
      <c r="H9" s="14" t="s">
        <v>29</v>
      </c>
      <c r="I9" s="39" t="s">
        <v>30</v>
      </c>
      <c r="J9" s="40"/>
    </row>
    <row r="10" spans="2:10" ht="110.25" customHeight="1">
      <c r="B10" s="13" t="s">
        <v>31</v>
      </c>
      <c r="C10" s="9"/>
      <c r="D10" s="11" t="s">
        <v>32</v>
      </c>
      <c r="E10" s="12" t="s">
        <v>33</v>
      </c>
      <c r="F10" s="44" t="s">
        <v>34</v>
      </c>
      <c r="G10" s="48"/>
      <c r="H10" s="16" t="s">
        <v>35</v>
      </c>
      <c r="I10" s="44" t="s">
        <v>36</v>
      </c>
      <c r="J10" s="45"/>
    </row>
    <row r="11" spans="2:10" ht="90.75" customHeight="1">
      <c r="B11" s="10" t="s">
        <v>37</v>
      </c>
      <c r="C11" s="9"/>
      <c r="D11" s="11" t="s">
        <v>38</v>
      </c>
      <c r="E11" s="12" t="s">
        <v>39</v>
      </c>
      <c r="F11" s="44" t="s">
        <v>40</v>
      </c>
      <c r="G11" s="48"/>
      <c r="H11" s="16" t="s">
        <v>41</v>
      </c>
      <c r="I11" s="44" t="s">
        <v>42</v>
      </c>
      <c r="J11" s="45"/>
    </row>
    <row r="12" spans="2:10" ht="90" customHeight="1">
      <c r="B12" s="10" t="s">
        <v>43</v>
      </c>
      <c r="C12" s="9"/>
      <c r="D12" s="11" t="s">
        <v>44</v>
      </c>
      <c r="E12" s="12" t="s">
        <v>45</v>
      </c>
      <c r="F12" s="44" t="s">
        <v>46</v>
      </c>
      <c r="G12" s="48"/>
      <c r="H12" s="16" t="s">
        <v>47</v>
      </c>
      <c r="I12" s="44" t="s">
        <v>48</v>
      </c>
      <c r="J12" s="45"/>
    </row>
    <row r="13" spans="2:10" ht="94.5" customHeight="1">
      <c r="B13" s="10" t="s">
        <v>49</v>
      </c>
      <c r="C13" s="9"/>
      <c r="D13" s="11" t="s">
        <v>50</v>
      </c>
      <c r="E13" s="12" t="s">
        <v>51</v>
      </c>
      <c r="F13" s="44" t="s">
        <v>52</v>
      </c>
      <c r="G13" s="48"/>
      <c r="H13" s="16" t="s">
        <v>53</v>
      </c>
      <c r="I13" s="44" t="s">
        <v>54</v>
      </c>
      <c r="J13" s="45"/>
    </row>
    <row r="14" spans="2:10" ht="94.5" customHeight="1">
      <c r="B14" s="10" t="s">
        <v>55</v>
      </c>
      <c r="C14" s="9"/>
      <c r="D14" s="11" t="s">
        <v>56</v>
      </c>
      <c r="E14" s="12" t="s">
        <v>57</v>
      </c>
      <c r="F14" s="44" t="s">
        <v>58</v>
      </c>
      <c r="G14" s="48"/>
      <c r="H14" s="16" t="s">
        <v>59</v>
      </c>
      <c r="I14" s="44" t="s">
        <v>60</v>
      </c>
      <c r="J14" s="45"/>
    </row>
    <row r="15" spans="2:10" ht="84.75" customHeight="1">
      <c r="B15" s="10" t="s">
        <v>61</v>
      </c>
      <c r="C15" s="9"/>
      <c r="D15" s="11" t="s">
        <v>62</v>
      </c>
      <c r="E15" s="12" t="s">
        <v>63</v>
      </c>
      <c r="F15" s="44" t="s">
        <v>64</v>
      </c>
      <c r="G15" s="48"/>
      <c r="H15" s="16" t="s">
        <v>65</v>
      </c>
      <c r="I15" s="44" t="s">
        <v>66</v>
      </c>
      <c r="J15" s="45"/>
    </row>
    <row r="16" spans="2:10">
      <c r="B16" s="39" t="s">
        <v>67</v>
      </c>
      <c r="C16" s="47"/>
      <c r="D16" s="40"/>
      <c r="E16" s="10" t="s">
        <v>68</v>
      </c>
      <c r="F16" s="46" t="s">
        <v>69</v>
      </c>
      <c r="G16" s="46"/>
      <c r="H16" s="14" t="s">
        <v>70</v>
      </c>
      <c r="I16" s="39" t="s">
        <v>71</v>
      </c>
      <c r="J16" s="40"/>
    </row>
    <row r="17" spans="2:10" ht="96.75" customHeight="1">
      <c r="B17" s="10" t="s">
        <v>72</v>
      </c>
      <c r="C17" s="9"/>
      <c r="D17" s="15" t="s">
        <v>73</v>
      </c>
      <c r="E17" s="17" t="s">
        <v>74</v>
      </c>
      <c r="F17" s="37" t="s">
        <v>75</v>
      </c>
      <c r="G17" s="38"/>
      <c r="H17" s="19" t="s">
        <v>76</v>
      </c>
      <c r="I17" s="37" t="s">
        <v>77</v>
      </c>
      <c r="J17" s="38"/>
    </row>
    <row r="18" spans="2:10" ht="83.25" customHeight="1">
      <c r="B18" s="10" t="s">
        <v>78</v>
      </c>
      <c r="C18" s="9"/>
      <c r="D18" s="11" t="s">
        <v>79</v>
      </c>
      <c r="E18" s="17" t="s">
        <v>80</v>
      </c>
      <c r="F18" s="36" t="s">
        <v>81</v>
      </c>
      <c r="G18" s="36"/>
      <c r="H18" s="19" t="s">
        <v>82</v>
      </c>
      <c r="I18" s="37" t="s">
        <v>83</v>
      </c>
      <c r="J18" s="38"/>
    </row>
    <row r="19" spans="2:10" ht="82.5" customHeight="1">
      <c r="B19" s="10" t="s">
        <v>84</v>
      </c>
      <c r="C19" s="9"/>
      <c r="D19" s="11" t="s">
        <v>85</v>
      </c>
      <c r="E19" s="17" t="s">
        <v>86</v>
      </c>
      <c r="F19" s="37" t="s">
        <v>87</v>
      </c>
      <c r="G19" s="38"/>
      <c r="H19" s="19" t="s">
        <v>88</v>
      </c>
      <c r="I19" s="36" t="s">
        <v>89</v>
      </c>
      <c r="J19" s="36"/>
    </row>
    <row r="20" spans="2:10" ht="90.75" customHeight="1">
      <c r="B20" s="10" t="s">
        <v>90</v>
      </c>
      <c r="C20" s="9"/>
      <c r="D20" s="11" t="s">
        <v>91</v>
      </c>
      <c r="E20" s="17" t="s">
        <v>92</v>
      </c>
      <c r="F20" s="37" t="s">
        <v>93</v>
      </c>
      <c r="G20" s="38"/>
      <c r="H20" s="19" t="s">
        <v>94</v>
      </c>
      <c r="I20" s="36" t="s">
        <v>95</v>
      </c>
      <c r="J20" s="36"/>
    </row>
    <row r="21" spans="2:10" ht="82.5" customHeight="1">
      <c r="B21" s="10" t="s">
        <v>96</v>
      </c>
      <c r="C21" s="9"/>
      <c r="D21" s="11" t="s">
        <v>97</v>
      </c>
      <c r="E21" s="17" t="s">
        <v>98</v>
      </c>
      <c r="F21" s="36" t="s">
        <v>99</v>
      </c>
      <c r="G21" s="36"/>
      <c r="H21" s="19" t="s">
        <v>100</v>
      </c>
      <c r="I21" s="36" t="s">
        <v>101</v>
      </c>
      <c r="J21" s="36"/>
    </row>
    <row r="22" spans="2:10" ht="84" customHeight="1">
      <c r="B22" s="10" t="s">
        <v>102</v>
      </c>
      <c r="C22" s="9"/>
      <c r="D22" s="11" t="s">
        <v>103</v>
      </c>
      <c r="E22" s="17" t="s">
        <v>104</v>
      </c>
      <c r="F22" s="36" t="s">
        <v>105</v>
      </c>
      <c r="G22" s="36"/>
      <c r="H22" s="19" t="s">
        <v>106</v>
      </c>
      <c r="I22" s="36" t="s">
        <v>107</v>
      </c>
      <c r="J22" s="36"/>
    </row>
    <row r="23" spans="2:10" ht="18.75" customHeight="1">
      <c r="D23" s="49"/>
      <c r="E23" s="49"/>
    </row>
    <row r="24" spans="2:10" hidden="1">
      <c r="D24" s="49"/>
      <c r="E24" s="49"/>
    </row>
    <row r="25" spans="2:10" hidden="1">
      <c r="D25" s="49"/>
      <c r="E25" s="49"/>
    </row>
    <row r="26" spans="2:10" hidden="1">
      <c r="D26" s="49"/>
      <c r="E26" s="49"/>
    </row>
    <row r="27" spans="2:10" hidden="1">
      <c r="D27" s="49"/>
      <c r="E27" s="49"/>
    </row>
    <row r="28" spans="2:10" hidden="1">
      <c r="D28" s="49"/>
      <c r="E28" s="49"/>
    </row>
    <row r="29" spans="2:10" hidden="1">
      <c r="D29" s="49"/>
      <c r="E29" s="49"/>
    </row>
  </sheetData>
  <mergeCells count="51">
    <mergeCell ref="D28:E28"/>
    <mergeCell ref="D29:E29"/>
    <mergeCell ref="F16:G16"/>
    <mergeCell ref="F17:G17"/>
    <mergeCell ref="F20:G20"/>
    <mergeCell ref="F21:G21"/>
    <mergeCell ref="F22:G22"/>
    <mergeCell ref="D23:E23"/>
    <mergeCell ref="D24:E24"/>
    <mergeCell ref="D25:E25"/>
    <mergeCell ref="D26:E26"/>
    <mergeCell ref="D27:E27"/>
    <mergeCell ref="B16:D16"/>
    <mergeCell ref="B9:D9"/>
    <mergeCell ref="I15:J15"/>
    <mergeCell ref="F15:G15"/>
    <mergeCell ref="F9:G9"/>
    <mergeCell ref="F10:G10"/>
    <mergeCell ref="F11:G11"/>
    <mergeCell ref="F12:G12"/>
    <mergeCell ref="F13:G13"/>
    <mergeCell ref="F14:G14"/>
    <mergeCell ref="I9:J9"/>
    <mergeCell ref="H2:J2"/>
    <mergeCell ref="F6:G6"/>
    <mergeCell ref="F3:G3"/>
    <mergeCell ref="F4:G4"/>
    <mergeCell ref="I5:J5"/>
    <mergeCell ref="E2:G2"/>
    <mergeCell ref="I6:J6"/>
    <mergeCell ref="I17:J17"/>
    <mergeCell ref="I16:J16"/>
    <mergeCell ref="F5:G5"/>
    <mergeCell ref="I4:J4"/>
    <mergeCell ref="I3:J3"/>
    <mergeCell ref="F8:G8"/>
    <mergeCell ref="F7:G7"/>
    <mergeCell ref="I7:J7"/>
    <mergeCell ref="I8:J8"/>
    <mergeCell ref="I10:J10"/>
    <mergeCell ref="I11:J11"/>
    <mergeCell ref="I12:J12"/>
    <mergeCell ref="I13:J13"/>
    <mergeCell ref="I14:J14"/>
    <mergeCell ref="I20:J20"/>
    <mergeCell ref="I22:J22"/>
    <mergeCell ref="F18:G18"/>
    <mergeCell ref="I21:J21"/>
    <mergeCell ref="F19:G19"/>
    <mergeCell ref="I19:J19"/>
    <mergeCell ref="I18:J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workbookViewId="0">
      <selection activeCell="B16" sqref="B16"/>
    </sheetView>
  </sheetViews>
  <sheetFormatPr defaultColWidth="0" defaultRowHeight="14.45" zeroHeight="1"/>
  <cols>
    <col min="1" max="1" width="5.7109375" customWidth="1"/>
    <col min="2" max="2" width="69" style="1" customWidth="1"/>
    <col min="3" max="3" width="17.42578125" style="1" customWidth="1"/>
    <col min="4" max="4" width="16.42578125" style="1" customWidth="1"/>
    <col min="5" max="5" width="15.7109375" style="1" customWidth="1"/>
    <col min="6" max="6" width="5.7109375" style="1" customWidth="1"/>
    <col min="7" max="16384" width="11.42578125" hidden="1"/>
  </cols>
  <sheetData>
    <row r="1" spans="1:5" ht="18" customHeight="1"/>
    <row r="2" spans="1:5">
      <c r="A2" s="18"/>
      <c r="B2" s="50" t="s">
        <v>108</v>
      </c>
      <c r="C2" s="50"/>
      <c r="D2" s="50"/>
      <c r="E2" s="50"/>
    </row>
    <row r="3" spans="1:5" ht="6.75" customHeight="1">
      <c r="A3" s="18"/>
      <c r="B3" s="3"/>
      <c r="C3" s="3"/>
      <c r="D3" s="3"/>
      <c r="E3" s="3"/>
    </row>
    <row r="4" spans="1:5">
      <c r="A4" s="18"/>
      <c r="B4" s="4" t="s">
        <v>0</v>
      </c>
      <c r="C4" s="4" t="s">
        <v>109</v>
      </c>
      <c r="D4" s="4" t="s">
        <v>110</v>
      </c>
      <c r="E4" s="4" t="s">
        <v>111</v>
      </c>
    </row>
    <row r="5" spans="1:5" ht="46.5" customHeight="1">
      <c r="A5" s="18"/>
      <c r="B5" s="26" t="s">
        <v>3</v>
      </c>
      <c r="C5" s="11">
        <v>0.12</v>
      </c>
      <c r="D5" s="6">
        <v>4</v>
      </c>
      <c r="E5" s="6">
        <f>C5*D5</f>
        <v>0.48</v>
      </c>
    </row>
    <row r="6" spans="1:5" ht="42" customHeight="1">
      <c r="A6" s="18"/>
      <c r="B6" s="26" t="s">
        <v>112</v>
      </c>
      <c r="C6" s="11">
        <v>0.11</v>
      </c>
      <c r="D6" s="6">
        <v>4</v>
      </c>
      <c r="E6" s="6">
        <f>C6*D6</f>
        <v>0.44</v>
      </c>
    </row>
    <row r="7" spans="1:5" ht="34.5" customHeight="1">
      <c r="A7" s="18"/>
      <c r="B7" s="27" t="s">
        <v>11</v>
      </c>
      <c r="C7" s="31">
        <v>0.1</v>
      </c>
      <c r="D7" s="6">
        <v>4</v>
      </c>
      <c r="E7" s="33">
        <f t="shared" ref="E7:E10" si="0">C7*D7</f>
        <v>0.4</v>
      </c>
    </row>
    <row r="8" spans="1:5" ht="33" customHeight="1">
      <c r="A8" s="18"/>
      <c r="B8" s="26" t="s">
        <v>15</v>
      </c>
      <c r="C8" s="11">
        <v>0.08</v>
      </c>
      <c r="D8" s="6">
        <v>3</v>
      </c>
      <c r="E8" s="6">
        <f t="shared" si="0"/>
        <v>0.24</v>
      </c>
    </row>
    <row r="9" spans="1:5" ht="27.75" customHeight="1">
      <c r="A9" s="18"/>
      <c r="B9" s="26" t="s">
        <v>113</v>
      </c>
      <c r="C9" s="11">
        <v>0.09</v>
      </c>
      <c r="D9" s="6">
        <v>3</v>
      </c>
      <c r="E9" s="6">
        <f t="shared" si="0"/>
        <v>0.27</v>
      </c>
    </row>
    <row r="10" spans="1:5" ht="29.25" customHeight="1">
      <c r="A10" s="18"/>
      <c r="B10" s="28" t="s">
        <v>23</v>
      </c>
      <c r="C10" s="34">
        <v>0.1</v>
      </c>
      <c r="D10" s="6">
        <v>4</v>
      </c>
      <c r="E10" s="33">
        <f t="shared" si="0"/>
        <v>0.4</v>
      </c>
    </row>
    <row r="11" spans="1:5">
      <c r="A11" s="18"/>
      <c r="B11" s="2" t="s">
        <v>1</v>
      </c>
      <c r="C11" s="4" t="s">
        <v>109</v>
      </c>
      <c r="D11" s="2" t="s">
        <v>110</v>
      </c>
      <c r="E11" s="2" t="s">
        <v>111</v>
      </c>
    </row>
    <row r="12" spans="1:5" ht="28.5" customHeight="1">
      <c r="A12" s="18"/>
      <c r="B12" s="28" t="s">
        <v>5</v>
      </c>
      <c r="C12" s="25">
        <v>0.12</v>
      </c>
      <c r="D12" s="6">
        <v>1</v>
      </c>
      <c r="E12" s="6">
        <f>C12*D12</f>
        <v>0.12</v>
      </c>
    </row>
    <row r="13" spans="1:5" ht="15" customHeight="1">
      <c r="A13" s="18"/>
      <c r="B13" s="30" t="s">
        <v>9</v>
      </c>
      <c r="C13" s="32">
        <v>0.08</v>
      </c>
      <c r="D13" s="29">
        <v>1</v>
      </c>
      <c r="E13" s="6">
        <f t="shared" ref="E13:E17" si="1">C13*D13</f>
        <v>0.08</v>
      </c>
    </row>
    <row r="14" spans="1:5" ht="27" customHeight="1">
      <c r="A14" s="18"/>
      <c r="B14" s="28" t="s">
        <v>13</v>
      </c>
      <c r="C14" s="32">
        <v>0.06</v>
      </c>
      <c r="D14" s="29">
        <v>2</v>
      </c>
      <c r="E14" s="6">
        <f t="shared" si="1"/>
        <v>0.12</v>
      </c>
    </row>
    <row r="15" spans="1:5" ht="27.75" customHeight="1">
      <c r="A15" s="18"/>
      <c r="B15" s="28" t="s">
        <v>17</v>
      </c>
      <c r="C15" s="32">
        <v>0.05</v>
      </c>
      <c r="D15" s="29">
        <v>2</v>
      </c>
      <c r="E15" s="33">
        <f t="shared" si="1"/>
        <v>0.1</v>
      </c>
    </row>
    <row r="16" spans="1:5" ht="15" customHeight="1">
      <c r="A16" s="18"/>
      <c r="B16" s="28" t="s">
        <v>21</v>
      </c>
      <c r="C16" s="25">
        <v>0.05</v>
      </c>
      <c r="D16" s="6">
        <v>2</v>
      </c>
      <c r="E16" s="33">
        <f t="shared" si="1"/>
        <v>0.1</v>
      </c>
    </row>
    <row r="17" spans="1:5" ht="38.25" customHeight="1">
      <c r="A17" s="18"/>
      <c r="B17" s="30" t="s">
        <v>25</v>
      </c>
      <c r="C17" s="25">
        <v>0.04</v>
      </c>
      <c r="D17" s="6">
        <v>2</v>
      </c>
      <c r="E17" s="6">
        <f t="shared" si="1"/>
        <v>0.08</v>
      </c>
    </row>
    <row r="18" spans="1:5">
      <c r="A18" s="18"/>
      <c r="B18" s="4" t="s">
        <v>114</v>
      </c>
      <c r="C18" s="5">
        <f>SUM(C5:C17)</f>
        <v>1</v>
      </c>
      <c r="D18" s="6"/>
      <c r="E18" s="6">
        <f>E19+E20</f>
        <v>2.83</v>
      </c>
    </row>
    <row r="19" spans="1:5">
      <c r="A19" s="18"/>
      <c r="B19" s="51"/>
      <c r="C19" s="53" t="s">
        <v>115</v>
      </c>
      <c r="D19" s="53"/>
      <c r="E19" s="6">
        <f>SUM(E5:E10)</f>
        <v>2.23</v>
      </c>
    </row>
    <row r="20" spans="1:5">
      <c r="A20" s="18"/>
      <c r="B20" s="52"/>
      <c r="C20" s="53" t="s">
        <v>116</v>
      </c>
      <c r="D20" s="53"/>
      <c r="E20" s="6">
        <f>SUM(E12:E17)</f>
        <v>0.6</v>
      </c>
    </row>
    <row r="21" spans="1:5" ht="28.9">
      <c r="A21" s="18"/>
      <c r="B21" s="24" t="s">
        <v>117</v>
      </c>
      <c r="C21" s="23"/>
      <c r="D21" s="23"/>
      <c r="E21" s="20"/>
    </row>
    <row r="22" spans="1:5" ht="18" customHeight="1">
      <c r="A22" s="18"/>
      <c r="B22" s="3"/>
      <c r="C22" s="3"/>
      <c r="D22" s="3"/>
      <c r="E22" s="3"/>
    </row>
    <row r="23" spans="1:5" ht="13.5" hidden="1" customHeight="1">
      <c r="B23" s="3"/>
      <c r="C23" s="3"/>
      <c r="D23" s="3"/>
      <c r="E23" s="3"/>
    </row>
    <row r="24" spans="1:5" hidden="1">
      <c r="B24" s="3" t="s">
        <v>118</v>
      </c>
      <c r="C24" s="3"/>
      <c r="D24" s="3"/>
      <c r="E24" s="3"/>
    </row>
    <row r="25" spans="1:5" hidden="1">
      <c r="B25" s="3" t="s">
        <v>119</v>
      </c>
      <c r="C25" s="3"/>
      <c r="D25" s="3"/>
      <c r="E25" s="3"/>
    </row>
    <row r="26" spans="1:5" hidden="1">
      <c r="B26" s="3" t="s">
        <v>120</v>
      </c>
      <c r="C26" s="3"/>
      <c r="D26" s="3"/>
      <c r="E26" s="3"/>
    </row>
    <row r="27" spans="1:5" hidden="1">
      <c r="B27" s="3" t="s">
        <v>121</v>
      </c>
      <c r="C27" s="3"/>
      <c r="D27" s="3"/>
      <c r="E27" s="3"/>
    </row>
    <row r="28" spans="1:5" hidden="1">
      <c r="B28" s="3" t="s">
        <v>122</v>
      </c>
      <c r="C28" s="3"/>
      <c r="D28" s="3"/>
      <c r="E28" s="3"/>
    </row>
    <row r="29" spans="1:5" hidden="1">
      <c r="B29" s="3" t="s">
        <v>123</v>
      </c>
      <c r="C29" s="3"/>
      <c r="D29" s="3"/>
      <c r="E29" s="3"/>
    </row>
    <row r="30" spans="1:5" hidden="1">
      <c r="B30" s="3" t="s">
        <v>124</v>
      </c>
      <c r="C30" s="3"/>
      <c r="D30" s="3"/>
      <c r="E30" s="3"/>
    </row>
    <row r="31" spans="1:5" hidden="1">
      <c r="B31" s="3"/>
      <c r="C31" s="3"/>
      <c r="D31" s="3"/>
      <c r="E31" s="3"/>
    </row>
    <row r="32" spans="1:5" hidden="1">
      <c r="B32" s="8" t="s">
        <v>125</v>
      </c>
      <c r="C32" s="3"/>
      <c r="D32" s="3"/>
      <c r="E32" s="3"/>
    </row>
    <row r="33" spans="2:5" hidden="1">
      <c r="B33" s="3" t="s">
        <v>126</v>
      </c>
      <c r="C33" s="3"/>
      <c r="D33" s="3"/>
      <c r="E33" s="3"/>
    </row>
    <row r="34" spans="2:5" hidden="1">
      <c r="B34" s="3" t="s">
        <v>127</v>
      </c>
      <c r="C34" s="3"/>
      <c r="D34" s="3"/>
      <c r="E34" s="3"/>
    </row>
    <row r="35" spans="2:5" hidden="1">
      <c r="B35" s="3" t="s">
        <v>128</v>
      </c>
      <c r="C35" s="3"/>
      <c r="D35" s="3"/>
      <c r="E35" s="3"/>
    </row>
    <row r="36" spans="2:5" hidden="1">
      <c r="B36" s="3" t="s">
        <v>129</v>
      </c>
      <c r="C36" s="3"/>
      <c r="D36" s="3"/>
      <c r="E36" s="3"/>
    </row>
    <row r="37" spans="2:5" hidden="1">
      <c r="B37" s="3" t="s">
        <v>130</v>
      </c>
      <c r="C37" s="3"/>
      <c r="D37" s="3"/>
      <c r="E37" s="3"/>
    </row>
    <row r="38" spans="2:5" hidden="1">
      <c r="B38" s="3" t="s">
        <v>131</v>
      </c>
      <c r="C38" s="3"/>
      <c r="D38" s="3"/>
      <c r="E38" s="3"/>
    </row>
    <row r="39" spans="2:5" hidden="1">
      <c r="B39" s="3"/>
      <c r="C39" s="3"/>
      <c r="D39" s="3"/>
      <c r="E39" s="3"/>
    </row>
    <row r="40" spans="2:5" hidden="1">
      <c r="B40" s="3" t="s">
        <v>132</v>
      </c>
      <c r="C40" s="3"/>
      <c r="D40" s="3"/>
      <c r="E40" s="3"/>
    </row>
    <row r="41" spans="2:5" hidden="1">
      <c r="B41" s="3" t="s">
        <v>133</v>
      </c>
      <c r="C41" s="3"/>
      <c r="D41" s="3"/>
      <c r="E41" s="3"/>
    </row>
    <row r="42" spans="2:5" hidden="1">
      <c r="B42" s="3" t="s">
        <v>134</v>
      </c>
      <c r="C42" s="3"/>
      <c r="D42" s="3"/>
      <c r="E42" s="3"/>
    </row>
    <row r="43" spans="2:5" hidden="1">
      <c r="B43" s="3" t="s">
        <v>135</v>
      </c>
      <c r="C43" s="3"/>
      <c r="D43" s="3"/>
      <c r="E43" s="3"/>
    </row>
    <row r="44" spans="2:5" hidden="1">
      <c r="B44" s="3" t="s">
        <v>136</v>
      </c>
      <c r="C44" s="3"/>
      <c r="D44" s="3"/>
      <c r="E44" s="3"/>
    </row>
    <row r="45" spans="2:5" hidden="1">
      <c r="B45" s="3" t="s">
        <v>137</v>
      </c>
      <c r="C45" s="3"/>
      <c r="D45" s="3"/>
      <c r="E45" s="3"/>
    </row>
    <row r="46" spans="2:5" hidden="1">
      <c r="B46" s="3" t="s">
        <v>138</v>
      </c>
      <c r="C46" s="3"/>
      <c r="D46" s="3"/>
      <c r="E46" s="3"/>
    </row>
    <row r="47" spans="2:5" hidden="1">
      <c r="B47" s="3" t="s">
        <v>139</v>
      </c>
      <c r="C47" s="3"/>
      <c r="D47" s="3"/>
      <c r="E47" s="3"/>
    </row>
  </sheetData>
  <protectedRanges>
    <protectedRange sqref="C5:C10" name="Peso"/>
    <protectedRange sqref="C12:C17" name="Peso 2"/>
  </protectedRanges>
  <mergeCells count="4">
    <mergeCell ref="B2:E2"/>
    <mergeCell ref="B19:B20"/>
    <mergeCell ref="C19:D19"/>
    <mergeCell ref="C20:D20"/>
  </mergeCells>
  <conditionalFormatting sqref="C18">
    <cfRule type="cellIs" dxfId="2" priority="1" operator="equal">
      <formula>1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" priority="3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tabSelected="1" topLeftCell="A5" workbookViewId="0">
      <selection activeCell="B17" sqref="B17"/>
    </sheetView>
  </sheetViews>
  <sheetFormatPr defaultColWidth="0" defaultRowHeight="14.45" zeroHeight="1"/>
  <cols>
    <col min="1" max="1" width="5.7109375" style="1" customWidth="1"/>
    <col min="2" max="2" width="43.28515625" style="1" customWidth="1"/>
    <col min="3" max="3" width="17" style="1" customWidth="1"/>
    <col min="4" max="4" width="18.5703125" style="1" customWidth="1"/>
    <col min="5" max="5" width="18.140625" style="1" customWidth="1"/>
    <col min="6" max="6" width="5.7109375" style="1" customWidth="1"/>
    <col min="7" max="16384" width="11.42578125" style="1" hidden="1"/>
  </cols>
  <sheetData>
    <row r="1" spans="2:5" ht="16.5" customHeight="1"/>
    <row r="2" spans="2:5">
      <c r="B2" s="50" t="s">
        <v>140</v>
      </c>
      <c r="C2" s="50"/>
      <c r="D2" s="50"/>
      <c r="E2" s="50"/>
    </row>
    <row r="3" spans="2:5" ht="6.75" customHeight="1">
      <c r="B3" s="3"/>
      <c r="C3" s="3"/>
      <c r="D3" s="3"/>
      <c r="E3" s="3"/>
    </row>
    <row r="4" spans="2:5">
      <c r="B4" s="2" t="s">
        <v>26</v>
      </c>
      <c r="C4" s="4" t="s">
        <v>109</v>
      </c>
      <c r="D4" s="2" t="s">
        <v>110</v>
      </c>
      <c r="E4" s="2" t="s">
        <v>111</v>
      </c>
    </row>
    <row r="5" spans="2:5" ht="60.75">
      <c r="B5" s="11" t="s">
        <v>32</v>
      </c>
      <c r="C5" s="5">
        <v>0.12</v>
      </c>
      <c r="D5" s="6">
        <v>4</v>
      </c>
      <c r="E5" s="6">
        <f>C5*D5</f>
        <v>0.48</v>
      </c>
    </row>
    <row r="6" spans="2:5" ht="60.75">
      <c r="B6" s="11" t="s">
        <v>38</v>
      </c>
      <c r="C6" s="35">
        <v>0.1</v>
      </c>
      <c r="D6" s="6">
        <v>4</v>
      </c>
      <c r="E6" s="6">
        <f t="shared" ref="E6:E10" si="0">C6*D6</f>
        <v>0.4</v>
      </c>
    </row>
    <row r="7" spans="2:5" ht="45.75">
      <c r="B7" s="11" t="s">
        <v>44</v>
      </c>
      <c r="C7" s="35">
        <v>0.1</v>
      </c>
      <c r="D7" s="6">
        <v>4</v>
      </c>
      <c r="E7" s="6">
        <f t="shared" si="0"/>
        <v>0.4</v>
      </c>
    </row>
    <row r="8" spans="2:5" ht="60.75">
      <c r="B8" s="11" t="s">
        <v>50</v>
      </c>
      <c r="C8" s="5">
        <v>0.08</v>
      </c>
      <c r="D8" s="6">
        <v>3</v>
      </c>
      <c r="E8" s="6">
        <f t="shared" si="0"/>
        <v>0.24</v>
      </c>
    </row>
    <row r="9" spans="2:5" ht="30.75">
      <c r="B9" s="11" t="s">
        <v>141</v>
      </c>
      <c r="C9" s="35">
        <v>0.1</v>
      </c>
      <c r="D9" s="6">
        <v>3</v>
      </c>
      <c r="E9" s="6">
        <f t="shared" si="0"/>
        <v>0.30000000000000004</v>
      </c>
    </row>
    <row r="10" spans="2:5" ht="45.75">
      <c r="B10" s="11" t="s">
        <v>62</v>
      </c>
      <c r="C10" s="35">
        <v>0.1</v>
      </c>
      <c r="D10" s="6">
        <v>3</v>
      </c>
      <c r="E10" s="6">
        <f t="shared" si="0"/>
        <v>0.30000000000000004</v>
      </c>
    </row>
    <row r="11" spans="2:5">
      <c r="B11" s="2" t="s">
        <v>67</v>
      </c>
      <c r="C11" s="4" t="s">
        <v>109</v>
      </c>
      <c r="D11" s="2" t="s">
        <v>110</v>
      </c>
      <c r="E11" s="2" t="s">
        <v>111</v>
      </c>
    </row>
    <row r="12" spans="2:5" ht="30.75">
      <c r="B12" s="15" t="s">
        <v>73</v>
      </c>
      <c r="C12" s="35">
        <v>0.1</v>
      </c>
      <c r="D12" s="6">
        <v>2</v>
      </c>
      <c r="E12" s="6">
        <f>C12*D12</f>
        <v>0.2</v>
      </c>
    </row>
    <row r="13" spans="2:5" ht="30.75">
      <c r="B13" s="11" t="s">
        <v>79</v>
      </c>
      <c r="C13" s="35">
        <v>0.1</v>
      </c>
      <c r="D13" s="6">
        <v>2</v>
      </c>
      <c r="E13" s="6">
        <f t="shared" ref="E13:E17" si="1">C13*D13</f>
        <v>0.2</v>
      </c>
    </row>
    <row r="14" spans="2:5" ht="76.5">
      <c r="B14" s="11" t="s">
        <v>142</v>
      </c>
      <c r="C14" s="5">
        <v>7.0000000000000007E-2</v>
      </c>
      <c r="D14" s="6">
        <v>2</v>
      </c>
      <c r="E14" s="6">
        <f t="shared" si="1"/>
        <v>0.14000000000000001</v>
      </c>
    </row>
    <row r="15" spans="2:5" ht="45.75">
      <c r="B15" s="11" t="s">
        <v>91</v>
      </c>
      <c r="C15" s="5">
        <v>0.05</v>
      </c>
      <c r="D15" s="6">
        <v>2</v>
      </c>
      <c r="E15" s="33">
        <f t="shared" si="1"/>
        <v>0.1</v>
      </c>
    </row>
    <row r="16" spans="2:5" ht="30.75">
      <c r="B16" s="11" t="s">
        <v>143</v>
      </c>
      <c r="C16" s="5">
        <v>0.05</v>
      </c>
      <c r="D16" s="6">
        <v>2</v>
      </c>
      <c r="E16" s="33">
        <f t="shared" si="1"/>
        <v>0.1</v>
      </c>
    </row>
    <row r="17" spans="2:5" ht="45.75">
      <c r="B17" s="11" t="s">
        <v>144</v>
      </c>
      <c r="C17" s="5">
        <v>0.03</v>
      </c>
      <c r="D17" s="6">
        <v>2</v>
      </c>
      <c r="E17" s="6">
        <f t="shared" si="1"/>
        <v>0.06</v>
      </c>
    </row>
    <row r="18" spans="2:5">
      <c r="B18" s="2" t="s">
        <v>114</v>
      </c>
      <c r="C18" s="6">
        <f>SUM(C5:C17)</f>
        <v>1</v>
      </c>
      <c r="D18" s="6"/>
      <c r="E18" s="6">
        <f>E19+E20</f>
        <v>2.92</v>
      </c>
    </row>
    <row r="19" spans="2:5">
      <c r="B19" s="51"/>
      <c r="C19" s="54" t="s">
        <v>145</v>
      </c>
      <c r="D19" s="54"/>
      <c r="E19" s="6">
        <f>SUM(E5:E10)</f>
        <v>2.12</v>
      </c>
    </row>
    <row r="20" spans="2:5">
      <c r="B20" s="52"/>
      <c r="C20" s="54" t="s">
        <v>146</v>
      </c>
      <c r="D20" s="54"/>
      <c r="E20" s="6">
        <f>SUM(E12:E17)</f>
        <v>0.8</v>
      </c>
    </row>
    <row r="21" spans="2:5">
      <c r="B21" s="21" t="s">
        <v>147</v>
      </c>
      <c r="C21" s="22"/>
      <c r="D21" s="22"/>
      <c r="E21" s="20"/>
    </row>
    <row r="22" spans="2:5" ht="18" customHeight="1">
      <c r="B22" s="3"/>
      <c r="C22" s="3"/>
      <c r="D22" s="3"/>
      <c r="E22" s="3"/>
    </row>
    <row r="23" spans="2:5" hidden="1">
      <c r="B23" s="7" t="s">
        <v>148</v>
      </c>
      <c r="C23" s="3"/>
      <c r="D23" s="3"/>
      <c r="E23" s="3"/>
    </row>
    <row r="24" spans="2:5" hidden="1">
      <c r="B24" s="3" t="s">
        <v>149</v>
      </c>
      <c r="C24" s="3"/>
      <c r="D24" s="3"/>
      <c r="E24" s="3"/>
    </row>
    <row r="25" spans="2:5" hidden="1">
      <c r="B25" s="3" t="s">
        <v>150</v>
      </c>
      <c r="C25" s="3"/>
      <c r="D25" s="3"/>
      <c r="E25" s="3"/>
    </row>
    <row r="26" spans="2:5" hidden="1">
      <c r="B26" s="3" t="s">
        <v>151</v>
      </c>
      <c r="C26" s="3"/>
      <c r="D26" s="3"/>
      <c r="E26" s="3"/>
    </row>
    <row r="27" spans="2:5" hidden="1">
      <c r="B27" s="3" t="s">
        <v>152</v>
      </c>
      <c r="C27" s="3"/>
      <c r="D27" s="3"/>
      <c r="E27" s="3"/>
    </row>
    <row r="28" spans="2:5" hidden="1">
      <c r="B28" s="3" t="s">
        <v>153</v>
      </c>
      <c r="C28" s="3"/>
      <c r="D28" s="3"/>
      <c r="E28" s="3"/>
    </row>
    <row r="29" spans="2:5" hidden="1">
      <c r="B29" s="3" t="s">
        <v>154</v>
      </c>
      <c r="C29" s="3"/>
      <c r="D29" s="3"/>
      <c r="E29" s="3"/>
    </row>
    <row r="30" spans="2:5" hidden="1">
      <c r="B30" s="3" t="s">
        <v>155</v>
      </c>
      <c r="C30" s="3"/>
      <c r="D30" s="3"/>
      <c r="E30" s="3"/>
    </row>
    <row r="31" spans="2:5" hidden="1">
      <c r="B31" s="3" t="s">
        <v>156</v>
      </c>
      <c r="C31" s="3"/>
      <c r="D31" s="3"/>
      <c r="E31" s="3"/>
    </row>
    <row r="32" spans="2:5" hidden="1">
      <c r="B32" s="3"/>
      <c r="C32" s="3"/>
      <c r="D32" s="3"/>
      <c r="E32" s="3"/>
    </row>
    <row r="33" spans="2:5" hidden="1">
      <c r="B33" s="8" t="s">
        <v>125</v>
      </c>
      <c r="C33" s="3"/>
      <c r="D33" s="3"/>
      <c r="E33" s="3"/>
    </row>
    <row r="34" spans="2:5" hidden="1">
      <c r="B34" s="3" t="s">
        <v>157</v>
      </c>
      <c r="C34" s="3"/>
      <c r="D34" s="3"/>
      <c r="E34" s="3"/>
    </row>
    <row r="35" spans="2:5" hidden="1">
      <c r="B35" s="3" t="s">
        <v>158</v>
      </c>
      <c r="C35" s="3"/>
      <c r="D35" s="3"/>
      <c r="E35" s="3"/>
    </row>
    <row r="36" spans="2:5" hidden="1">
      <c r="B36" s="3" t="s">
        <v>159</v>
      </c>
      <c r="C36" s="3"/>
      <c r="D36" s="3"/>
      <c r="E36" s="3"/>
    </row>
    <row r="37" spans="2:5" hidden="1">
      <c r="B37" s="3" t="s">
        <v>160</v>
      </c>
      <c r="C37" s="3"/>
      <c r="D37" s="3"/>
      <c r="E37" s="3"/>
    </row>
    <row r="38" spans="2:5" hidden="1">
      <c r="B38" s="3" t="s">
        <v>161</v>
      </c>
      <c r="C38" s="3"/>
      <c r="D38" s="3"/>
      <c r="E38" s="3"/>
    </row>
    <row r="39" spans="2:5" hidden="1">
      <c r="B39" s="3" t="s">
        <v>162</v>
      </c>
      <c r="C39" s="3"/>
      <c r="D39" s="3"/>
      <c r="E39" s="3"/>
    </row>
    <row r="40" spans="2:5" hidden="1">
      <c r="B40" s="3" t="s">
        <v>163</v>
      </c>
      <c r="C40" s="3"/>
      <c r="D40" s="3"/>
      <c r="E40" s="3"/>
    </row>
    <row r="41" spans="2:5" hidden="1">
      <c r="B41" s="3" t="s">
        <v>131</v>
      </c>
      <c r="C41" s="3"/>
      <c r="D41" s="3"/>
      <c r="E41" s="3"/>
    </row>
    <row r="42" spans="2:5" hidden="1">
      <c r="B42" s="3"/>
      <c r="C42" s="3"/>
      <c r="D42" s="3"/>
      <c r="E42" s="3"/>
    </row>
    <row r="43" spans="2:5" hidden="1">
      <c r="B43" s="3"/>
      <c r="C43" s="3"/>
      <c r="D43" s="3"/>
      <c r="E43" s="3"/>
    </row>
    <row r="44" spans="2:5" hidden="1">
      <c r="B44" s="3" t="s">
        <v>164</v>
      </c>
      <c r="C44" s="3"/>
      <c r="D44" s="3"/>
      <c r="E44" s="3"/>
    </row>
    <row r="45" spans="2:5" hidden="1">
      <c r="B45" s="3" t="s">
        <v>165</v>
      </c>
      <c r="C45" s="3"/>
      <c r="D45" s="3"/>
      <c r="E45" s="3"/>
    </row>
    <row r="46" spans="2:5" hidden="1">
      <c r="B46" s="3" t="s">
        <v>166</v>
      </c>
      <c r="C46" s="3"/>
      <c r="D46" s="3"/>
      <c r="E46" s="3"/>
    </row>
    <row r="47" spans="2:5" hidden="1">
      <c r="B47" s="3" t="s">
        <v>167</v>
      </c>
      <c r="C47" s="3"/>
      <c r="D47" s="3"/>
      <c r="E47" s="3"/>
    </row>
    <row r="48" spans="2:5" hidden="1">
      <c r="B48" s="3" t="s">
        <v>168</v>
      </c>
      <c r="C48" s="3"/>
      <c r="D48" s="3"/>
      <c r="E48" s="3"/>
    </row>
    <row r="49" spans="2:5" hidden="1">
      <c r="B49" s="3" t="s">
        <v>169</v>
      </c>
      <c r="C49" s="3"/>
      <c r="D49" s="3"/>
      <c r="E49" s="3"/>
    </row>
    <row r="50" spans="2:5" hidden="1">
      <c r="B50" s="3" t="s">
        <v>170</v>
      </c>
      <c r="C50" s="3"/>
      <c r="D50" s="3"/>
      <c r="E50" s="3"/>
    </row>
    <row r="51" spans="2:5" hidden="1">
      <c r="B51" s="3" t="s">
        <v>171</v>
      </c>
      <c r="C51" s="3"/>
      <c r="D51" s="3"/>
      <c r="E51" s="3"/>
    </row>
    <row r="52" spans="2:5" hidden="1">
      <c r="B52" s="3" t="s">
        <v>172</v>
      </c>
      <c r="C52" s="3"/>
      <c r="D52" s="3"/>
      <c r="E52" s="3"/>
    </row>
    <row r="53" spans="2:5" hidden="1">
      <c r="B53" s="3" t="s">
        <v>173</v>
      </c>
      <c r="C53" s="3"/>
      <c r="D53" s="3"/>
      <c r="E53" s="3"/>
    </row>
    <row r="54" spans="2:5" hidden="1">
      <c r="B54" s="3" t="s">
        <v>174</v>
      </c>
      <c r="C54" s="3"/>
      <c r="D54" s="3"/>
      <c r="E54" s="3"/>
    </row>
  </sheetData>
  <protectedRanges>
    <protectedRange sqref="C5:C10" name="Peso"/>
    <protectedRange sqref="C12:C17" name="Peso 2"/>
  </protectedRanges>
  <mergeCells count="4">
    <mergeCell ref="B2:E2"/>
    <mergeCell ref="B19:B20"/>
    <mergeCell ref="C19:D19"/>
    <mergeCell ref="C20:D20"/>
  </mergeCells>
  <conditionalFormatting sqref="C18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hlopex</dc:creator>
  <cp:keywords/>
  <dc:description/>
  <cp:lastModifiedBy>CATALINA HENAO QUIROZ</cp:lastModifiedBy>
  <cp:revision/>
  <dcterms:created xsi:type="dcterms:W3CDTF">2012-11-24T21:23:23Z</dcterms:created>
  <dcterms:modified xsi:type="dcterms:W3CDTF">2026-07-17T02:32:57Z</dcterms:modified>
  <cp:category/>
  <cp:contentStatus/>
</cp:coreProperties>
</file>